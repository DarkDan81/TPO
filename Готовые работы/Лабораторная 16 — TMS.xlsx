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8fff79121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a2779df6c684d99"/>
    <x:sheet xmlns:r="http://schemas.openxmlformats.org/officeDocument/2006/relationships" name="Тест-план" sheetId="2" r:id="R40e979b3ed6c4c55"/>
    <x:sheet xmlns:r="http://schemas.openxmlformats.org/officeDocument/2006/relationships" name="Тест-кейсы" sheetId="3" r:id="R4b2b298de15e4f12"/>
    <x:sheet xmlns:r="http://schemas.openxmlformats.org/officeDocument/2006/relationships" name="Баги" sheetId="4" r:id="R2416586931db4f93"/>
    <x:sheet xmlns:r="http://schemas.openxmlformats.org/officeDocument/2006/relationships" name="Плотность" sheetId="5" r:id="Rdcaa3fb5b56f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9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d9817a80041d5" /><Relationship Type="http://schemas.openxmlformats.org/officeDocument/2006/relationships/theme" Target="/xl/theme/theme1.xml" Id="R237dab75e4dc48d1" /><Relationship Type="http://schemas.openxmlformats.org/officeDocument/2006/relationships/sharedStrings" Target="/xl/sharedStrings.xml" Id="Rb20370e2591e421a" /><Relationship Type="http://schemas.openxmlformats.org/officeDocument/2006/relationships/worksheet" Target="/xl/worksheets/sheet1.xml" Id="R2a2779df6c684d99" /><Relationship Type="http://schemas.openxmlformats.org/officeDocument/2006/relationships/worksheet" Target="/xl/worksheets/sheet2.xml" Id="R40e979b3ed6c4c55" /><Relationship Type="http://schemas.openxmlformats.org/officeDocument/2006/relationships/worksheet" Target="/xl/worksheets/sheet3.xml" Id="R4b2b298de15e4f12" /><Relationship Type="http://schemas.openxmlformats.org/officeDocument/2006/relationships/worksheet" Target="/xl/worksheets/sheet4.xml" Id="R2416586931db4f93" /><Relationship Type="http://schemas.openxmlformats.org/officeDocument/2006/relationships/worksheet" Target="/xl/worksheets/sheet5.xml" Id="Rdcaa3fb5b56f46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00" hidden="0" customWidth="1"/>
  </x:cols>
  <x:sheetData>
    <x:row r="1" ht="30" customHeight="1">
      <x:c r="A1" s="6" t="str">
        <x:v>Показатель</x:v>
      </x:c>
      <x:c r="B1" s="6" t="str">
        <x:v>Значение</x:v>
      </x:c>
    </x:row>
    <x:row r="2" ht="30" customHeight="1">
      <x:c r="A2" s="4" t="str">
        <x:v>Всего проверок</x:v>
      </x:c>
      <x:c r="B2" s="4" t="n">
        <x:v>43</x:v>
      </x:c>
    </x:row>
    <x:row r="3" ht="30" customHeight="1">
      <x:c r="A3" s="7" t="str">
        <x:v>Успешно</x:v>
      </x:c>
      <x:c r="B3" s="7" t="n">
        <x:f>COUNTIF('Тест-кейсы'!H2:H44,"Passed")</x:f>
        <x:v>39</x:v>
      </x:c>
    </x:row>
    <x:row r="4" ht="30" customHeight="1">
      <x:c r="A4" s="4" t="str">
        <x:v>Провалено</x:v>
      </x:c>
      <x:c r="B4" s="4" t="n">
        <x:f>COUNTIF('Тест-кейсы'!H2:H44,"Failed")</x:f>
        <x:v>4</x:v>
      </x:c>
    </x:row>
    <x:row r="5" ht="30" customHeight="1">
      <x:c r="A5" s="7" t="str">
        <x:v>Pass Rate</x:v>
      </x:c>
      <x:c r="B5" s="10" t="n">
        <x:f>B3/(B3+B4)</x:f>
        <x:v>0.9069767441860465</x:v>
      </x:c>
    </x:row>
    <x:row r="6" ht="30" customHeight="1">
      <x:c r="A6" s="4" t="str">
        <x:v>Fail Rate</x:v>
      </x:c>
      <x:c r="B6" s="11" t="n">
        <x:f>B4/(B3+B4)</x:f>
        <x:v>0.09302325581395349</x:v>
      </x:c>
    </x:row>
    <x:row r="7" ht="30" customHeight="1">
      <x:c r="A7" s="7" t="str">
        <x:v>Заблокировано</x:v>
      </x:c>
      <x:c r="B7" s="7" t="n">
        <x:v>0</x:v>
      </x:c>
    </x:row>
    <x:row r="8" ht="30" customHeight="1">
      <x:c r="A8" s="4" t="str">
        <x:v>Пропущено</x:v>
      </x:c>
      <x:c r="B8" s="4" t="n">
        <x:v>0</x:v>
      </x:c>
    </x:row>
    <x:row r="9" ht="30" customHeight="1">
      <x:c r="A9" s="7" t="str">
        <x:v>Уникальных дефектов</x:v>
      </x:c>
      <x:c r="B9" s="7" t="n">
        <x:v>4</x:v>
      </x:c>
    </x:row>
    <x:row r="10" ht="30" customHeight="1">
      <x:c r="A10" s="4" t="str">
        <x:v>Blocker</x:v>
      </x:c>
      <x:c r="B10" s="4" t="n">
        <x:v>0</x:v>
      </x:c>
    </x:row>
    <x:row r="11" ht="30" customHeight="1">
      <x:c r="A11" s="7" t="str">
        <x:v>Critical</x:v>
      </x:c>
      <x:c r="B11" s="7" t="n">
        <x:v>0</x:v>
      </x:c>
    </x:row>
    <x:row r="12" ht="30" customHeight="1">
      <x:c r="A12" s="4" t="str">
        <x:v>Major</x:v>
      </x:c>
      <x:c r="B12" s="4" t="n">
        <x:v>2</x:v>
      </x:c>
    </x:row>
    <x:row r="13" ht="30" customHeight="1">
      <x:c r="A13" s="7" t="str">
        <x:v>Minor</x:v>
      </x:c>
      <x:c r="B13" s="7" t="n">
        <x:v>2</x:v>
      </x:c>
    </x:row>
    <x:row r="14" ht="30" customHeight="1">
      <x:c r="A14" s="4" t="str">
        <x:v>Trivial</x:v>
      </x:c>
      <x:c r="B14" s="4" t="n">
        <x:v>0</x:v>
      </x:c>
    </x:row>
    <x:row r="15" ht="30" customHeight="1">
      <x:c r="A15" s="7" t="str">
        <x:v>Решение</x:v>
      </x:c>
      <x:c r="B15" s="7" t="str">
        <x:v>Релиз не рекомендован</x:v>
      </x:c>
    </x:row>
    <x:row r="16" ht="30" customHeight="1">
      <x:c r="A16" s="4" t="str">
        <x:v>Критерий Pass Rate</x:v>
      </x:c>
      <x:c r="B16" s="4" t="str">
        <x:v>Не ниже 95%</x:v>
      </x:c>
    </x:row>
    <x:row r="17" ht="30" customHeight="1">
      <x:c r="A17" s="7" t="str">
        <x:v>Критерий дефектов</x:v>
      </x:c>
      <x:c r="B17" s="7" t="str">
        <x:v>Нет открытых Blocker Critical Major</x:v>
      </x:c>
    </x:row>
    <x:row r="18" ht="30" customHeight="1">
      <x:c r="A18" s="4" t="str">
        <x:v>Достоверность RAG</x:v>
      </x:c>
      <x:c r="B18" s="4" t="str">
        <x:v>Неподтверждённые существенные факты отсутствуют</x:v>
      </x:c>
    </x:row>
    <x:row r="19" ht="30" customHeight="1">
      <x:c r="A19" s="7" t="str">
        <x:v>Факт</x:v>
      </x:c>
      <x:c r="B19" s="7" t="str">
        <x:v>Есть открытые Major и неподтверждённое условие; Pass Rate ниже 95%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30" customHeight="1">
      <x:c r="A1" s="6" t="str">
        <x:v>Раздел</x:v>
      </x:c>
      <x:c r="B1" s="6" t="str">
        <x:v>Содержание</x:v>
      </x:c>
    </x:row>
    <x:row r="2" ht="30" customHeight="1">
      <x:c r="A2" s="4" t="str">
        <x:v>Объект и версия</x:v>
      </x:c>
      <x:c r="B2" s="4" t="str">
        <x:v>Локальный KnowBase backend 1.0.0 frontend 1.0.0</x:v>
      </x:c>
    </x:row>
    <x:row r="3" ht="30" customHeight="1">
      <x:c r="A3" s="7" t="str">
        <x:v>Источник требований</x:v>
      </x:c>
      <x:c r="B3" s="7" t="str">
        <x:v>README KnowBase; Swagger API; правила ответа RAG по проиндексированным статьям</x:v>
      </x:c>
    </x:row>
    <x:row r="4" ht="46" customHeight="1">
      <x:c r="A4" s="4" t="str">
        <x:v>Цель</x:v>
      </x:c>
      <x:c r="B4" s="4" t="str">
        <x:v>Оценить готовность проверенного веб-приложения к учебному релизу через функциональные, API, UI, нагрузочные и RAG-проверки</x:v>
      </x:c>
    </x:row>
    <x:row r="5" ht="46" customHeight="1">
      <x:c r="A5" s="7" t="str">
        <x:v>Scope</x:v>
      </x:c>
      <x:c r="B5" s="7" t="str">
        <x:v>Авторизация; личный кабинет; CRUD статей и комментариев; поиск; теги; права User; RAG-чат; нагрузка 10/20/50 VU с MOCK чата</x:v>
      </x:c>
    </x:row>
    <x:row r="6" ht="46" customHeight="1">
      <x:c r="A6" s="4" t="str">
        <x:v>Вне scope</x:v>
      </x:c>
      <x:c r="B6" s="4" t="str">
        <x:v>Промышленная эксплуатация; мобильные приложения; почтовая доставка во внешние системы; платные модели; нагрузка на настоящую генерацию; браузеры кроме Chromium; полное исследование безопасности</x:v>
      </x:c>
    </x:row>
    <x:row r="7" ht="30" customHeight="1">
      <x:c r="A7" s="7" t="str">
        <x:v>Приоритет High</x:v>
      </x:c>
      <x:c r="B7" s="7" t="str">
        <x:v>Авторизация, права доступа и API; создание и сохранение статей и комментариев; достоверность RAG</x:v>
      </x:c>
    </x:row>
    <x:row r="8" ht="30" customHeight="1">
      <x:c r="A8" s="4" t="str">
        <x:v>Приоритет Medium</x:v>
      </x:c>
      <x:c r="B8" s="4" t="str">
        <x:v>Личный кабинет; поиск и теги; интерфейс чата и изоляция истории; нагрузка MOCK</x:v>
      </x:c>
    </x:row>
    <x:row r="9" ht="30" customHeight="1">
      <x:c r="A9" s="7" t="str">
        <x:v>Приоритет Low</x:v>
      </x:c>
      <x:c r="B9" s="7" t="str">
        <x:v>Косметические особенности оформления</x:v>
      </x:c>
    </x:row>
    <x:row r="10" ht="46" customHeight="1">
      <x:c r="A10" s="4" t="str">
        <x:v>Критерии входа</x:v>
      </x:c>
      <x:c r="B10" s="4" t="str">
        <x:v>Стенд и Swagger доступны; два учебных пользователя User созданы; тестовые статьи подготовлены; обе модели Ollama и индекс RAG готовы; ожидаемые результаты зафиксированы</x:v>
      </x:c>
    </x:row>
    <x:row r="11" ht="46" customHeight="1">
      <x:c r="A11" s="7" t="str">
        <x:v>Порядок</x:v>
      </x:c>
      <x:c r="B11" s="7" t="str">
        <x:v>Сначала High: авторизация, API, сохранение данных, RAG. Затем Medium: кабинет, поиск, UI, нагрузка. В конце Low и итоговая сводка</x:v>
      </x:c>
    </x:row>
    <x:row r="12" ht="46" customHeight="1">
      <x:c r="A12" s="4" t="str">
        <x:v>Минимальный объём</x:v>
      </x:c>
      <x:c r="B12" s="4" t="str">
        <x:v>Не менее 20 функциональных тест-кейсов; позитивные и негативные API-сценарии; основные экраны UI; не менее пяти RAG-вопросов с проверкой галлюцинаций; результаты трёх нагрузочных запусков</x:v>
      </x:c>
    </x:row>
    <x:row r="13" ht="63" customHeight="1">
      <x:c r="A13" s="7" t="str">
        <x:v>Критерии выхода</x:v>
      </x:c>
      <x:c r="B13" s="7" t="str">
        <x:v>Все High и запланированные применимые тесты исполнены; нет открытых Blocker/Critical/Major; Pass Rate не ниже 95%; нет подтверждённого нарушения прав; поиск и чат MOCK p95 &lt; 500 мс и HTTP-ошибки &lt; 1% при 50 VU; нет подтверждённых неподкреплённых существенных фактов RAG</x:v>
      </x:c>
    </x:row>
    <x:row r="14" ht="46" customHeight="1">
      <x:c r="A14" s="4" t="str">
        <x:v>Правило решения</x:v>
      </x:c>
      <x:c r="B14" s="4" t="str">
        <x:v>Если хотя бы один критерий выхода не выполнен, релиз не рекомендован. Неприменимые проверки исключаются из Pass Rate и перечисляются отдельно</x:v>
      </x:c>
    </x:row>
    <x:row r="15" ht="46" customHeight="1">
      <x:c r="A15" s="7" t="str">
        <x:v>Артефакты</x:v>
      </x:c>
      <x:c r="B15" s="7" t="str">
        <x:v>Лист Тест-кейсы со статусами; лист Баги с полными репортами; сводка и метрики; отчёт DOCX/PDF; презентация 5–8 слайдов</x:v>
      </x:c>
    </x:row>
    <x:row r="16" ht="46" customHeight="1">
      <x:c r="A16" s="4" t="str">
        <x:v>Инструменты</x:v>
      </x:c>
      <x:c r="B16" s="4" t="str">
        <x:v>Test IT и табличный TMS; Bruno CLI; Chromium DevTools и браузерная автоматизация; k6; Ollama; Qdrant</x:v>
      </x:c>
    </x:row>
    <x:row r="17" ht="63" customHeight="1">
      <x:c r="A17" s="7" t="str">
        <x:v>Ресурсы</x:v>
      </x:c>
      <x:c r="B17" s="7" t="str">
        <x:v>Васильев Артём Евгеньевич К3440 — авторизация и UI; Алексеев Андрей Викторович К3441 — статьи и API; Дущенко Даниил Александрович К3441 — RAG и проверка источников; Цатинян Артём Арменович К3439 — нагрузка, метрики и итоговая сводка</x:v>
      </x:c>
    </x:row>
    <x:row r="18" ht="30" customHeight="1">
      <x:c r="A18" s="4" t="str">
        <x:v>Сроки</x:v>
      </x:c>
      <x:c r="B18" s="4" t="str">
        <x:v>22.10.2026: подготовка и базовые проверки; затем комплексный цикл и сводка в тот же день</x:v>
      </x:c>
    </x:row>
    <x:row r="19" ht="46" customHeight="1">
      <x:c r="A19" s="7" t="str">
        <x:v>Метрики</x:v>
      </x:c>
      <x:c r="B19" s="7" t="str">
        <x:v>Pass Rate = Passed/(Passed+Failed); Fail Rate = Failed/(Passed+Failed); дефекты по severity; плотность по блоку = уникальные дефекты блока / выполненные тесты блока</x:v>
      </x:c>
    </x:row>
    <x:row r="20" ht="46" customHeight="1">
      <x:c r="A20" s="4" t="str">
        <x:v>DRE</x:v>
      </x:c>
      <x:c r="B20" s="4" t="str">
        <x:v>DRE = дефекты до релиза/(дефекты до релиза+после релиза). До релиза и без послерелизных данных не рассчитывается</x:v>
      </x:c>
    </x:row>
    <x:row r="21" ht="63" customHeight="1">
      <x:c r="A21" s="7" t="str">
        <x:v>Риски и меры</x:v>
      </x:c>
      <x:c r="B21" s="7" t="str">
        <x:v>Недоступность среды — проверка входных условий; недетерминированный RAG — фиксированные корпус, модели и полные ответы; ошибки прав — только собственные учебные объекты; отсутствие реальной генерации под нагрузкой — ограничение scope; утечка токенов — исключение секретов из экспорта</x:v>
      </x:c>
    </x:row>
    <x:row r="22" ht="30" customHeight="1">
      <x:c r="A22" s="4" t="str">
        <x:v>Дата плана</x:v>
      </x:c>
      <x:c r="B22" s="4" t="str">
        <x:v>22.10.2026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50" hidden="0" customWidth="1"/>
    <x:col min="5" max="5" width="80" hidden="0" customWidth="1"/>
    <x:col min="6" max="6" width="65" hidden="0" customWidth="1"/>
    <x:col min="7" max="7" width="80" hidden="0" customWidth="1"/>
    <x:col min="8" max="8" width="15" hidden="0" customWidth="1"/>
  </x:cols>
  <x:sheetData>
    <x:row r="1" ht="30" customHeight="1">
      <x:c r="A1" s="6" t="str">
        <x:v>ID</x:v>
      </x:c>
      <x:c r="B1" s="6" t="str">
        <x:v>Блок и приоритет</x:v>
      </x:c>
      <x:c r="C1" s="6" t="str">
        <x:v>Название</x:v>
      </x:c>
      <x:c r="D1" s="6" t="str">
        <x:v>Предусловия</x:v>
      </x:c>
      <x:c r="E1" s="6" t="str">
        <x:v>Шаги и данные</x:v>
      </x:c>
      <x:c r="F1" s="6" t="str">
        <x:v>Ожидаемый результат</x:v>
      </x:c>
      <x:c r="G1" s="6" t="str">
        <x:v>Фактический результат</x:v>
      </x:c>
      <x:c r="H1" s="6" t="str">
        <x:v>Статус</x:v>
      </x:c>
    </x:row>
    <x:row r="2" ht="46" customHeight="1">
      <x:c r="A2" s="4" t="str">
        <x:v>FT16-01</x:v>
      </x:c>
      <x:c r="B2" s="4" t="str">
        <x:v>Авторизация / High</x:v>
      </x:c>
      <x:c r="C2" s="4" t="str">
        <x:v>Вход с верным паролем</x:v>
      </x:c>
      <x:c r="D2" s="4" t="str">
        <x:v>Локальный KnowBase 1.0.0; собственные учебные объекты; роли User.</x:v>
      </x:c>
      <x:c r="E2" s="4" t="str">
        <x:v>POST /api/v1/users/login
{"identifier":"labteam_a","password":"[СКРЫТО]"}</x:v>
      </x:c>
      <x:c r="F2" s="4" t="str">
        <x:v>HTTP 200</x:v>
      </x:c>
      <x:c r="G2" s="4" t="str">
        <x:v>HTTP 200</x:v>
      </x:c>
      <x:c r="H2" s="4" t="str">
        <x:v>Passed</x:v>
      </x:c>
    </x:row>
    <x:row r="3" ht="46" customHeight="1">
      <x:c r="A3" s="7" t="str">
        <x:v>FT16-02</x:v>
      </x:c>
      <x:c r="B3" s="7" t="str">
        <x:v>Авторизация / High</x:v>
      </x:c>
      <x:c r="C3" s="7" t="str">
        <x:v>Вход с неверным паролем</x:v>
      </x:c>
      <x:c r="D3" s="7" t="str">
        <x:v>Локальный KnowBase 1.0.0; собственные учебные объекты; роли User.</x:v>
      </x:c>
      <x:c r="E3" s="7" t="str">
        <x:v>POST /api/v1/users/login
{"identifier":"labteam_a","password":"[СКРЫТО]"}</x:v>
      </x:c>
      <x:c r="F3" s="7" t="str">
        <x:v>HTTP 400</x:v>
      </x:c>
      <x:c r="G3" s="7" t="str">
        <x:v>HTTP 400</x:v>
      </x:c>
      <x:c r="H3" s="7" t="str">
        <x:v>Passed</x:v>
      </x:c>
    </x:row>
    <x:row r="4" ht="46" customHeight="1">
      <x:c r="A4" s="4" t="str">
        <x:v>FT16-03</x:v>
      </x:c>
      <x:c r="B4" s="4" t="str">
        <x:v>Авторизация / High</x:v>
      </x:c>
      <x:c r="C4" s="4" t="str">
        <x:v>Вход с пустыми данными</x:v>
      </x:c>
      <x:c r="D4" s="4" t="str">
        <x:v>Локальный KnowBase 1.0.0; собственные учебные объекты; роли User.</x:v>
      </x:c>
      <x:c r="E4" s="4" t="str">
        <x:v>POST /api/v1/users/login
{"identifier":"","password":"[СКРЫТО]"}</x:v>
      </x:c>
      <x:c r="F4" s="4" t="str">
        <x:v>HTTP 400</x:v>
      </x:c>
      <x:c r="G4" s="4" t="str">
        <x:v>HTTP 400</x:v>
      </x:c>
      <x:c r="H4" s="4" t="str">
        <x:v>Passed</x:v>
      </x:c>
    </x:row>
    <x:row r="5" ht="46" customHeight="1">
      <x:c r="A5" s="7" t="str">
        <x:v>FT16-04</x:v>
      </x:c>
      <x:c r="B5" s="7" t="str">
        <x:v>Авторизация / High</x:v>
      </x:c>
      <x:c r="C5" s="7" t="str">
        <x:v>Список статей без входа</x:v>
      </x:c>
      <x:c r="D5" s="7" t="str">
        <x:v>Локальный KnowBase 1.0.0; собственные учебные объекты; роли User.</x:v>
      </x:c>
      <x:c r="E5" s="7" t="str">
        <x:v>GET /api/v1/pages</x:v>
      </x:c>
      <x:c r="F5" s="7" t="str">
        <x:v>HTTP 401</x:v>
      </x:c>
      <x:c r="G5" s="7" t="str">
        <x:v>HTTP 401</x:v>
      </x:c>
      <x:c r="H5" s="7" t="str">
        <x:v>Passed</x:v>
      </x:c>
    </x:row>
    <x:row r="6" ht="46" customHeight="1">
      <x:c r="A6" s="4" t="str">
        <x:v>FT16-05</x:v>
      </x:c>
      <x:c r="B6" s="4" t="str">
        <x:v>Статьи и комментарии API / High</x:v>
      </x:c>
      <x:c r="C6" s="4" t="str">
        <x:v>Создание статьи</x:v>
      </x:c>
      <x:c r="D6" s="4" t="str">
        <x:v>Локальный KnowBase 1.0.0; собственные учебные объекты; роли User.</x:v>
      </x:c>
      <x:c r="E6" s="4" t="str">
        <x:v>POST /api/v1/pages/new
{"id":0,"userId":0,"title":"LAB16 Итоговая статья","content":"Исходный текст команды","categoryId":1}</x:v>
      </x:c>
      <x:c r="F6" s="4" t="str">
        <x:v>HTTP 201</x:v>
      </x:c>
      <x:c r="G6" s="4" t="str">
        <x:v>HTTP 201</x:v>
      </x:c>
      <x:c r="H6" s="4" t="str">
        <x:v>Passed</x:v>
      </x:c>
    </x:row>
    <x:row r="7" ht="46" customHeight="1">
      <x:c r="A7" s="7" t="str">
        <x:v>FT16-06</x:v>
      </x:c>
      <x:c r="B7" s="7" t="str">
        <x:v>Статьи и комментарии API / High</x:v>
      </x:c>
      <x:c r="C7" s="7" t="str">
        <x:v>Чтение созданной статьи</x:v>
      </x:c>
      <x:c r="D7" s="7" t="str">
        <x:v>Локальный KnowBase 1.0.0; собственные учебные объекты; роли User.</x:v>
      </x:c>
      <x:c r="E7" s="7" t="str">
        <x:v>GET /api/v1/pages/28</x:v>
      </x:c>
      <x:c r="F7" s="7" t="str">
        <x:v>HTTP 200; корректное содержимое и состояние</x:v>
      </x:c>
      <x:c r="G7" s="7" t="str">
        <x:v>HTTP 200</x:v>
      </x:c>
      <x:c r="H7" s="7" t="str">
        <x:v>Passed</x:v>
      </x:c>
    </x:row>
    <x:row r="8" ht="46" customHeight="1">
      <x:c r="A8" s="4" t="str">
        <x:v>FT16-07</x:v>
      </x:c>
      <x:c r="B8" s="4" t="str">
        <x:v>Статьи и комментарии API / High</x:v>
      </x:c>
      <x:c r="C8" s="4" t="str">
        <x:v>Изменение своей статьи</x:v>
      </x:c>
      <x:c r="D8" s="4" t="str">
        <x:v>Локальный KnowBase 1.0.0; собственные учебные объекты; роли User.</x:v>
      </x:c>
      <x:c r="E8" s="4" t="str">
        <x:v>PUT /api/v1/pages/28
{"id":28,"userId":5,"title":"LAB16 Обновлено","content":"Изменённый текст команды","categoryId":1}</x:v>
      </x:c>
      <x:c r="F8" s="4" t="str">
        <x:v>HTTP 200</x:v>
      </x:c>
      <x:c r="G8" s="4" t="str">
        <x:v>HTTP 200</x:v>
      </x:c>
      <x:c r="H8" s="4" t="str">
        <x:v>Passed</x:v>
      </x:c>
    </x:row>
    <x:row r="9" ht="46" customHeight="1">
      <x:c r="A9" s="7" t="str">
        <x:v>FT16-08</x:v>
      </x:c>
      <x:c r="B9" s="7" t="str">
        <x:v>Статьи и комментарии API / High</x:v>
      </x:c>
      <x:c r="C9" s="7" t="str">
        <x:v>Сохранение изменённого текста</x:v>
      </x:c>
      <x:c r="D9" s="7" t="str">
        <x:v>Локальный KnowBase 1.0.0; собственные учебные объекты; роли User.</x:v>
      </x:c>
      <x:c r="E9" s="7" t="str">
        <x:v>GET /api/v1/pages/28</x:v>
      </x:c>
      <x:c r="F9" s="7" t="str">
        <x:v>HTTP 200; корректное содержимое и состояние</x:v>
      </x:c>
      <x:c r="G9" s="7" t="str">
        <x:v>HTTP 200</x:v>
      </x:c>
      <x:c r="H9" s="7" t="str">
        <x:v>Passed</x:v>
      </x:c>
    </x:row>
    <x:row r="10" ht="46" customHeight="1">
      <x:c r="A10" s="4" t="str">
        <x:v>FT16-09</x:v>
      </x:c>
      <x:c r="B10" s="4" t="str">
        <x:v>Статьи и комментарии API / High</x:v>
      </x:c>
      <x:c r="C10" s="4" t="str">
        <x:v>Редактирование статьи другим User</x:v>
      </x:c>
      <x:c r="D10" s="4" t="str">
        <x:v>Локальный KnowBase 1.0.0; собственные учебные объекты; роли User.</x:v>
      </x:c>
      <x:c r="E10" s="4" t="str">
        <x:v>PUT /api/v1/pages/28
{"id":28,"userId":5,"title":"LAB16 Попытка B","content":"Не должно сохраниться","categoryId":1}</x:v>
      </x:c>
      <x:c r="F10" s="4" t="str">
        <x:v>HTTP 403</x:v>
      </x:c>
      <x:c r="G10" s="4" t="str">
        <x:v>HTTP 403</x:v>
      </x:c>
      <x:c r="H10" s="4" t="str">
        <x:v>Passed</x:v>
      </x:c>
    </x:row>
    <x:row r="11" ht="46" customHeight="1">
      <x:c r="A11" s="7" t="str">
        <x:v>FT16-10</x:v>
      </x:c>
      <x:c r="B11" s="7" t="str">
        <x:v>Статьи и комментарии API / High</x:v>
      </x:c>
      <x:c r="C11" s="7" t="str">
        <x:v>Статья не изменилась после отказа</x:v>
      </x:c>
      <x:c r="D11" s="7" t="str">
        <x:v>Локальный KnowBase 1.0.0; собственные учебные объекты; роли User.</x:v>
      </x:c>
      <x:c r="E11" s="7" t="str">
        <x:v>GET /api/v1/pages/28</x:v>
      </x:c>
      <x:c r="F11" s="7" t="str">
        <x:v>HTTP 200; корректное содержимое и состояние</x:v>
      </x:c>
      <x:c r="G11" s="7" t="str">
        <x:v>HTTP 200</x:v>
      </x:c>
      <x:c r="H11" s="7" t="str">
        <x:v>Passed</x:v>
      </x:c>
    </x:row>
    <x:row r="12" ht="46" customHeight="1">
      <x:c r="A12" s="4" t="str">
        <x:v>FT16-11</x:v>
      </x:c>
      <x:c r="B12" s="4" t="str">
        <x:v>Статьи и комментарии API / High</x:v>
      </x:c>
      <x:c r="C12" s="4" t="str">
        <x:v>Добавление комментария</x:v>
      </x:c>
      <x:c r="D12" s="4" t="str">
        <x:v>Локальный KnowBase 1.0.0; собственные учебные объекты; роли User.</x:v>
      </x:c>
      <x:c r="E12" s="4" t="str">
        <x:v>POST /api/v1/pages/28/comments
"LAB16 Комментарий A"</x:v>
      </x:c>
      <x:c r="F12" s="4" t="str">
        <x:v>HTTP 201</x:v>
      </x:c>
      <x:c r="G12" s="4" t="str">
        <x:v>HTTP 201</x:v>
      </x:c>
      <x:c r="H12" s="4" t="str">
        <x:v>Passed</x:v>
      </x:c>
    </x:row>
    <x:row r="13" ht="46" customHeight="1">
      <x:c r="A13" s="7" t="str">
        <x:v>FT16-12</x:v>
      </x:c>
      <x:c r="B13" s="7" t="str">
        <x:v>Статьи и комментарии API / High</x:v>
      </x:c>
      <x:c r="C13" s="7" t="str">
        <x:v>Сохранение комментария</x:v>
      </x:c>
      <x:c r="D13" s="7" t="str">
        <x:v>Локальный KnowBase 1.0.0; собственные учебные объекты; роли User.</x:v>
      </x:c>
      <x:c r="E13" s="7" t="str">
        <x:v>GET /api/v1/pages/28/comments</x:v>
      </x:c>
      <x:c r="F13" s="7" t="str">
        <x:v>HTTP 200; корректное содержимое и состояние</x:v>
      </x:c>
      <x:c r="G13" s="7" t="str">
        <x:v>HTTP 200</x:v>
      </x:c>
      <x:c r="H13" s="7" t="str">
        <x:v>Passed</x:v>
      </x:c>
    </x:row>
    <x:row r="14" ht="46" customHeight="1">
      <x:c r="A14" s="4" t="str">
        <x:v>FT16-13</x:v>
      </x:c>
      <x:c r="B14" s="4" t="str">
        <x:v>Статьи и комментарии API / High</x:v>
      </x:c>
      <x:c r="C14" s="4" t="str">
        <x:v>Изменение своего комментария</x:v>
      </x:c>
      <x:c r="D14" s="4" t="str">
        <x:v>Локальный KnowBase 1.0.0; собственные учебные объекты; роли User.</x:v>
      </x:c>
      <x:c r="E14" s="4" t="str">
        <x:v>PUT /api/v1/pages/28/comments/29
"LAB16 Изменено A"</x:v>
      </x:c>
      <x:c r="F14" s="4" t="str">
        <x:v>HTTP 200</x:v>
      </x:c>
      <x:c r="G14" s="4" t="str">
        <x:v>HTTP 200</x:v>
      </x:c>
      <x:c r="H14" s="4" t="str">
        <x:v>Passed</x:v>
      </x:c>
    </x:row>
    <x:row r="15" ht="46" customHeight="1">
      <x:c r="A15" s="7" t="str">
        <x:v>FT16-14</x:v>
      </x:c>
      <x:c r="B15" s="7" t="str">
        <x:v>Статьи и комментарии API / High</x:v>
      </x:c>
      <x:c r="C15" s="7" t="str">
        <x:v>Чужое изменение комментария отклонено</x:v>
      </x:c>
      <x:c r="D15" s="7" t="str">
        <x:v>Локальный KnowBase 1.0.0; собственные учебные объекты; роли User.</x:v>
      </x:c>
      <x:c r="E15" s="7" t="str">
        <x:v>PUT /api/v1/pages/28/comments/29
"LAB16 Попытка B"</x:v>
      </x:c>
      <x:c r="F15" s="7" t="str">
        <x:v>HTTP 403</x:v>
      </x:c>
      <x:c r="G15" s="7" t="str">
        <x:v>HTTP 403</x:v>
      </x:c>
      <x:c r="H15" s="7" t="str">
        <x:v>Passed</x:v>
      </x:c>
    </x:row>
    <x:row r="16" ht="46" customHeight="1">
      <x:c r="A16" s="4" t="str">
        <x:v>FT16-15</x:v>
      </x:c>
      <x:c r="B16" s="4" t="str">
        <x:v>Статьи и комментарии API / High</x:v>
      </x:c>
      <x:c r="C16" s="4" t="str">
        <x:v>Комментарий сохранил текст владельца</x:v>
      </x:c>
      <x:c r="D16" s="4" t="str">
        <x:v>Локальный KnowBase 1.0.0; собственные учебные объекты; роли User.</x:v>
      </x:c>
      <x:c r="E16" s="4" t="str">
        <x:v>GET /api/v1/pages/28/comments</x:v>
      </x:c>
      <x:c r="F16" s="4" t="str">
        <x:v>HTTP 200; корректное содержимое и состояние</x:v>
      </x:c>
      <x:c r="G16" s="4" t="str">
        <x:v>HTTP 200</x:v>
      </x:c>
      <x:c r="H16" s="4" t="str">
        <x:v>Passed</x:v>
      </x:c>
    </x:row>
    <x:row r="17" ht="46" customHeight="1">
      <x:c r="A17" s="7" t="str">
        <x:v>FT16-16</x:v>
      </x:c>
      <x:c r="B17" s="7" t="str">
        <x:v>Статьи и комментарии API / High</x:v>
      </x:c>
      <x:c r="C17" s="7" t="str">
        <x:v>Пустой комментарий отклонён</x:v>
      </x:c>
      <x:c r="D17" s="7" t="str">
        <x:v>Локальный KnowBase 1.0.0; собственные учебные объекты; роли User.</x:v>
      </x:c>
      <x:c r="E17" s="7" t="str">
        <x:v>POST /api/v1/pages/28/comments
"   "</x:v>
      </x:c>
      <x:c r="F17" s="7" t="str">
        <x:v>HTTP 400</x:v>
      </x:c>
      <x:c r="G17" s="7" t="str">
        <x:v>HTTP 400</x:v>
      </x:c>
      <x:c r="H17" s="7" t="str">
        <x:v>Passed</x:v>
      </x:c>
    </x:row>
    <x:row r="18" ht="46" customHeight="1">
      <x:c r="A18" s="4" t="str">
        <x:v>FT16-17</x:v>
      </x:c>
      <x:c r="B18" s="4" t="str">
        <x:v>Статьи и комментарии API / High</x:v>
      </x:c>
      <x:c r="C18" s="4" t="str">
        <x:v>Чтение отсутствующей статьи</x:v>
      </x:c>
      <x:c r="D18" s="4" t="str">
        <x:v>Локальный KnowBase 1.0.0; собственные учебные объекты; роли User.</x:v>
      </x:c>
      <x:c r="E18" s="4" t="str">
        <x:v>GET /api/v1/pages/2147483647</x:v>
      </x:c>
      <x:c r="F18" s="4" t="str">
        <x:v>HTTP 404</x:v>
      </x:c>
      <x:c r="G18" s="4" t="str">
        <x:v>HTTP 404</x:v>
      </x:c>
      <x:c r="H18" s="4" t="str">
        <x:v>Passed</x:v>
      </x:c>
    </x:row>
    <x:row r="19" ht="46" customHeight="1">
      <x:c r="A19" s="7" t="str">
        <x:v>FT16-18</x:v>
      </x:c>
      <x:c r="B19" s="7" t="str">
        <x:v>Статьи и комментарии API / High</x:v>
      </x:c>
      <x:c r="C19" s="7" t="str">
        <x:v>Контракт создания без id и userId</x:v>
      </x:c>
      <x:c r="D19" s="7" t="str">
        <x:v>Локальный KnowBase 1.0.0; собственные учебные объекты; роли User.</x:v>
      </x:c>
      <x:c r="E19" s="7" t="str">
        <x:v>POST /api/v1/pages/new
{"title":"LAB16 Контракт","content":"Текст","categoryId":1}</x:v>
      </x:c>
      <x:c r="F19" s="7" t="str">
        <x:v>HTTP 201</x:v>
      </x:c>
      <x:c r="G19" s="7" t="str">
        <x:v>HTTP 400
KB-API-01</x:v>
      </x:c>
      <x:c r="H19" s="7" t="str">
        <x:v>Failed</x:v>
      </x:c>
    </x:row>
    <x:row r="20" ht="46" customHeight="1">
      <x:c r="A20" s="4" t="str">
        <x:v>FT16-19</x:v>
      </x:c>
      <x:c r="B20" s="4" t="str">
        <x:v>Статьи и комментарии API / High</x:v>
      </x:c>
      <x:c r="C20" s="4" t="str">
        <x:v>Список своих статей</x:v>
      </x:c>
      <x:c r="D20" s="4" t="str">
        <x:v>Локальный KnowBase 1.0.0; собственные учебные объекты; роли User.</x:v>
      </x:c>
      <x:c r="E20" s="4" t="str">
        <x:v>GET /api/v1/pages/my</x:v>
      </x:c>
      <x:c r="F20" s="4" t="str">
        <x:v>HTTP 200; корректное содержимое и состояние</x:v>
      </x:c>
      <x:c r="G20" s="4" t="str">
        <x:v>HTTP 200</x:v>
      </x:c>
      <x:c r="H20" s="4" t="str">
        <x:v>Passed</x:v>
      </x:c>
    </x:row>
    <x:row r="21" ht="46" customHeight="1">
      <x:c r="A21" s="7" t="str">
        <x:v>FT16-20</x:v>
      </x:c>
      <x:c r="B21" s="7" t="str">
        <x:v>Личный кабинет / Medium</x:v>
      </x:c>
      <x:c r="C21" s="7" t="str">
        <x:v>Чтение своего профиля</x:v>
      </x:c>
      <x:c r="D21" s="7" t="str">
        <x:v>Локальный KnowBase 1.0.0; собственные учебные объекты; роли User.</x:v>
      </x:c>
      <x:c r="E21" s="7" t="str">
        <x:v>GET /api/v1/users/profile/me</x:v>
      </x:c>
      <x:c r="F21" s="7" t="str">
        <x:v>HTTP 200</x:v>
      </x:c>
      <x:c r="G21" s="7" t="str">
        <x:v>HTTP 200</x:v>
      </x:c>
      <x:c r="H21" s="7" t="str">
        <x:v>Passed</x:v>
      </x:c>
    </x:row>
    <x:row r="22" ht="46" customHeight="1">
      <x:c r="A22" s="4" t="str">
        <x:v>FT16-21</x:v>
      </x:c>
      <x:c r="B22" s="4" t="str">
        <x:v>Личный кабинет / Medium</x:v>
      </x:c>
      <x:c r="C22" s="4" t="str">
        <x:v>Изменение своего имени</x:v>
      </x:c>
      <x:c r="D22" s="4" t="str">
        <x:v>Локальный KnowBase 1.0.0; собственные учебные объекты; роли User.</x:v>
      </x:c>
      <x:c r="E22" s="4" t="str">
        <x:v>PUT /api/v1/users/profile
{"id":6,"userId":5,"displayName":"Команда итоговая проверка","login":"labteam_a","role":1}</x:v>
      </x:c>
      <x:c r="F22" s="4" t="str">
        <x:v>HTTP 200</x:v>
      </x:c>
      <x:c r="G22" s="4" t="str">
        <x:v>HTTP 200</x:v>
      </x:c>
      <x:c r="H22" s="4" t="str">
        <x:v>Passed</x:v>
      </x:c>
    </x:row>
    <x:row r="23" ht="46" customHeight="1">
      <x:c r="A23" s="7" t="str">
        <x:v>FT16-22</x:v>
      </x:c>
      <x:c r="B23" s="7" t="str">
        <x:v>Личный кабинет / Medium</x:v>
      </x:c>
      <x:c r="C23" s="7" t="str">
        <x:v>Имя сохранено после повторного чтения</x:v>
      </x:c>
      <x:c r="D23" s="7" t="str">
        <x:v>Локальный KnowBase 1.0.0; собственные учебные объекты; роли User.</x:v>
      </x:c>
      <x:c r="E23" s="7" t="str">
        <x:v>GET /api/v1/users/profile/me</x:v>
      </x:c>
      <x:c r="F23" s="7" t="str">
        <x:v>HTTP 200; корректное содержимое и состояние</x:v>
      </x:c>
      <x:c r="G23" s="7" t="str">
        <x:v>HTTP 200</x:v>
      </x:c>
      <x:c r="H23" s="7" t="str">
        <x:v>Passed</x:v>
      </x:c>
    </x:row>
    <x:row r="24" ht="46" customHeight="1">
      <x:c r="A24" s="4" t="str">
        <x:v>FT16-23</x:v>
      </x:c>
      <x:c r="B24" s="4" t="str">
        <x:v>Личный кабинет / Medium</x:v>
      </x:c>
      <x:c r="C24" s="4" t="str">
        <x:v>Изменение профиля A пользователем B</x:v>
      </x:c>
      <x:c r="D24" s="4" t="str">
        <x:v>Локальный KnowBase 1.0.0; собственные учебные объекты; роли User.</x:v>
      </x:c>
      <x:c r="E24" s="4" t="str">
        <x:v>PUT /api/v1/users/profile
{"id":6,"userId":5,"displayName":"Не должно сохраниться","login":"labteam_a","role":1}</x:v>
      </x:c>
      <x:c r="F24" s="4" t="str">
        <x:v>HTTP 403</x:v>
      </x:c>
      <x:c r="G24" s="4" t="str">
        <x:v>HTTP 403</x:v>
      </x:c>
      <x:c r="H24" s="4" t="str">
        <x:v>Passed</x:v>
      </x:c>
    </x:row>
    <x:row r="25" ht="46" customHeight="1">
      <x:c r="A25" s="7" t="str">
        <x:v>FT16-24</x:v>
      </x:c>
      <x:c r="B25" s="7" t="str">
        <x:v>Личный кабинет / Medium</x:v>
      </x:c>
      <x:c r="C25" s="7" t="str">
        <x:v>Неверный текущий пароль отклонён</x:v>
      </x:c>
      <x:c r="D25" s="7" t="str">
        <x:v>Локальный KnowBase 1.0.0; собственные учебные объекты; роли User.</x:v>
      </x:c>
      <x:c r="E25" s="7" t="str">
        <x:v>POST /api/v1/users/change-password
{"email":"labteam_a@example.test","currentPassword":"[СКРЫТО]","newPassword":"[СКРЫТО]"}</x:v>
      </x:c>
      <x:c r="F25" s="7" t="str">
        <x:v>HTTP 400</x:v>
      </x:c>
      <x:c r="G25" s="7" t="str">
        <x:v>HTTP 400</x:v>
      </x:c>
      <x:c r="H25" s="7" t="str">
        <x:v>Passed</x:v>
      </x:c>
    </x:row>
    <x:row r="26" ht="46" customHeight="1">
      <x:c r="A26" s="4" t="str">
        <x:v>FT16-25</x:v>
      </x:c>
      <x:c r="B26" s="4" t="str">
        <x:v>Поиск и теги / Medium</x:v>
      </x:c>
      <x:c r="C26" s="4" t="str">
        <x:v>Поиск своей статьи</x:v>
      </x:c>
      <x:c r="D26" s="4" t="str">
        <x:v>Локальный KnowBase 1.0.0; собственные учебные объекты; роли User.</x:v>
      </x:c>
      <x:c r="E26" s="4" t="str">
        <x:v>GET /api/v1/pages/search?categoryId=1&amp;search=LAB16&amp;fuzzySearch=false</x:v>
      </x:c>
      <x:c r="F26" s="4" t="str">
        <x:v>HTTP 200; корректное содержимое и состояние</x:v>
      </x:c>
      <x:c r="G26" s="4" t="str">
        <x:v>HTTP 200</x:v>
      </x:c>
      <x:c r="H26" s="4" t="str">
        <x:v>Passed</x:v>
      </x:c>
    </x:row>
    <x:row r="27" ht="46" customHeight="1">
      <x:c r="A27" s="7" t="str">
        <x:v>FT16-26</x:v>
      </x:c>
      <x:c r="B27" s="7" t="str">
        <x:v>Поиск и теги / Medium</x:v>
      </x:c>
      <x:c r="C27" s="7" t="str">
        <x:v>Добавление тега</x:v>
      </x:c>
      <x:c r="D27" s="7" t="str">
        <x:v>Локальный KnowBase 1.0.0; собственные учебные объекты; роли User.</x:v>
      </x:c>
      <x:c r="E27" s="7" t="str">
        <x:v>POST /api/v1/pages/28/keywords
"lab16-tag"</x:v>
      </x:c>
      <x:c r="F27" s="7" t="str">
        <x:v>HTTP 200</x:v>
      </x:c>
      <x:c r="G27" s="7" t="str">
        <x:v>HTTP 200</x:v>
      </x:c>
      <x:c r="H27" s="7" t="str">
        <x:v>Passed</x:v>
      </x:c>
    </x:row>
    <x:row r="28" ht="46" customHeight="1">
      <x:c r="A28" s="4" t="str">
        <x:v>FT16-27</x:v>
      </x:c>
      <x:c r="B28" s="4" t="str">
        <x:v>Поиск и теги / Medium</x:v>
      </x:c>
      <x:c r="C28" s="4" t="str">
        <x:v>Удаление тега</x:v>
      </x:c>
      <x:c r="D28" s="4" t="str">
        <x:v>Локальный KnowBase 1.0.0; собственные учебные объекты; роли User.</x:v>
      </x:c>
      <x:c r="E28" s="4" t="str">
        <x:v>DELETE /api/v1/pages/28/keywords
"lab16-tag"</x:v>
      </x:c>
      <x:c r="F28" s="4" t="str">
        <x:v>HTTP 204</x:v>
      </x:c>
      <x:c r="G28" s="4" t="str">
        <x:v>HTTP 204</x:v>
      </x:c>
      <x:c r="H28" s="4" t="str">
        <x:v>Passed</x:v>
      </x:c>
    </x:row>
    <x:row r="29" ht="46" customHeight="1">
      <x:c r="A29" s="7" t="str">
        <x:v>FT16-28</x:v>
      </x:c>
      <x:c r="B29" s="7" t="str">
        <x:v>Статьи и комментарии API / High</x:v>
      </x:c>
      <x:c r="C29" s="7" t="str">
        <x:v>Удаление своего комментария</x:v>
      </x:c>
      <x:c r="D29" s="7" t="str">
        <x:v>Локальный KnowBase 1.0.0; собственные учебные объекты; роли User.</x:v>
      </x:c>
      <x:c r="E29" s="7" t="str">
        <x:v>DELETE /api/v1/pages/28/comments/29</x:v>
      </x:c>
      <x:c r="F29" s="7" t="str">
        <x:v>HTTP 204</x:v>
      </x:c>
      <x:c r="G29" s="7" t="str">
        <x:v>HTTP 204</x:v>
      </x:c>
      <x:c r="H29" s="7" t="str">
        <x:v>Passed</x:v>
      </x:c>
    </x:row>
    <x:row r="30" ht="46" customHeight="1">
      <x:c r="A30" s="4" t="str">
        <x:v>FT16-29</x:v>
      </x:c>
      <x:c r="B30" s="4" t="str">
        <x:v>Статьи и комментарии API / High</x:v>
      </x:c>
      <x:c r="C30" s="4" t="str">
        <x:v>Комментарий отсутствует после удаления</x:v>
      </x:c>
      <x:c r="D30" s="4" t="str">
        <x:v>Локальный KnowBase 1.0.0; собственные учебные объекты; роли User.</x:v>
      </x:c>
      <x:c r="E30" s="4" t="str">
        <x:v>GET /api/v1/pages/28/comments</x:v>
      </x:c>
      <x:c r="F30" s="4" t="str">
        <x:v>HTTP 200; корректное содержимое и состояние</x:v>
      </x:c>
      <x:c r="G30" s="4" t="str">
        <x:v>HTTP 200</x:v>
      </x:c>
      <x:c r="H30" s="4" t="str">
        <x:v>Passed</x:v>
      </x:c>
    </x:row>
    <x:row r="31" ht="46" customHeight="1">
      <x:c r="A31" s="7" t="str">
        <x:v>FT16-30</x:v>
      </x:c>
      <x:c r="B31" s="7" t="str">
        <x:v>Статьи и комментарии API / High</x:v>
      </x:c>
      <x:c r="C31" s="7" t="str">
        <x:v>Удаление своей статьи</x:v>
      </x:c>
      <x:c r="D31" s="7" t="str">
        <x:v>Локальный KnowBase 1.0.0; собственные учебные объекты; роли User.</x:v>
      </x:c>
      <x:c r="E31" s="7" t="str">
        <x:v>DELETE /api/v1/pages/28</x:v>
      </x:c>
      <x:c r="F31" s="7" t="str">
        <x:v>HTTP 204</x:v>
      </x:c>
      <x:c r="G31" s="7" t="str">
        <x:v>HTTP 204</x:v>
      </x:c>
      <x:c r="H31" s="7" t="str">
        <x:v>Passed</x:v>
      </x:c>
    </x:row>
    <x:row r="32" ht="46" customHeight="1">
      <x:c r="A32" s="4" t="str">
        <x:v>FT16-31</x:v>
      </x:c>
      <x:c r="B32" s="4" t="str">
        <x:v>Статьи и комментарии API / High</x:v>
      </x:c>
      <x:c r="C32" s="4" t="str">
        <x:v>Удалённая статья недоступна</x:v>
      </x:c>
      <x:c r="D32" s="4" t="str">
        <x:v>Локальный KnowBase 1.0.0; собственные учебные объекты; роли User.</x:v>
      </x:c>
      <x:c r="E32" s="4" t="str">
        <x:v>GET /api/v1/pages/28</x:v>
      </x:c>
      <x:c r="F32" s="4" t="str">
        <x:v>HTTP 404</x:v>
      </x:c>
      <x:c r="G32" s="4" t="str">
        <x:v>HTTP 404</x:v>
      </x:c>
      <x:c r="H32" s="4" t="str">
        <x:v>Passed</x:v>
      </x:c>
    </x:row>
    <x:row r="33" ht="46" customHeight="1">
      <x:c r="A33" s="7" t="str">
        <x:v>RAG16-01</x:v>
      </x:c>
      <x:c r="B33" s="7" t="str">
        <x:v>RAG / High</x:v>
      </x:c>
      <x:c r="C33" s="7" t="str">
        <x:v>Прямой факт</x:v>
      </x:c>
      <x:c r="D33" s="7" t="str">
        <x:v>Проиндексированы статьи 25–27; настоящая Ollama qwen3.5:0.8b; MOCK выключен для запроса.</x:v>
      </x:c>
      <x:c r="E33" s="7" t="str">
        <x:v>Открыть чат и отправить: Сколько календарных дней хранятся резервные копии проекта Атлас?</x:v>
      </x:c>
      <x:c r="F33" s="7" t="str">
        <x:v>14 календарных дней.</x:v>
      </x:c>
      <x:c r="G33" s="7" t="str">
        <x:v>Проект Атлас имеет срок хранения резервных копий 14 календарных дней.</x:v>
      </x:c>
      <x:c r="H33" s="7" t="str">
        <x:v>Passed</x:v>
      </x:c>
    </x:row>
    <x:row r="34" ht="46" customHeight="1">
      <x:c r="A34" s="4" t="str">
        <x:v>RAG16-02</x:v>
      </x:c>
      <x:c r="B34" s="4" t="str">
        <x:v>RAG / High</x:v>
      </x:c>
      <x:c r="C34" s="4" t="str">
        <x:v>Сравнение</x:v>
      </x:c>
      <x:c r="D34" s="4" t="str">
        <x:v>Проиндексированы статьи 25–27; настоящая Ollama qwen3.5:0.8b; MOCK выключен для запроса.</x:v>
      </x:c>
      <x:c r="E34" s="4" t="str">
        <x:v>Открыть чат и отправить: Сравни сроки хранения резервных копий Атласа и Веги.</x:v>
      </x:c>
      <x:c r="F34" s="4" t="str">
        <x:v>Атлас — 14 дней, Вега — 30 дней.</x:v>
      </x:c>
      <x:c r="G34" s="4" t="str">
        <x:v>В документе нет данных для формирования ответа.
KB-RAG-01</x:v>
      </x:c>
      <x:c r="H34" s="4" t="str">
        <x:v>Failed</x:v>
      </x:c>
    </x:row>
    <x:row r="35" ht="46" customHeight="1">
      <x:c r="A35" s="7" t="str">
        <x:v>RAG16-03</x:v>
      </x:c>
      <x:c r="B35" s="7" t="str">
        <x:v>RAG / High</x:v>
      </x:c>
      <x:c r="C35" s="7" t="str">
        <x:v>Уточнение условия</x:v>
      </x:c>
      <x:c r="D35" s="7" t="str">
        <x:v>Проиндексированы статьи 25–27; настоящая Ollama qwen3.5:0.8b; MOCK выключен для запроса.</x:v>
      </x:c>
      <x:c r="E35" s="7" t="str">
        <x:v>Открыть чат и отправить: Сколько хранятся резервные копии проекта?</x:v>
      </x:c>
      <x:c r="F35" s="7" t="str">
        <x:v>Уточнить проект или перечислить: Атлас 14 дней, Вега 30 дней.</x:v>
      </x:c>
      <x:c r="G35" s="7" t="str">
        <x:v>В документе нет информации о количестве или длительности хранения резервных копий для проектов Атлас и Вега.
KB-RAG-01</x:v>
      </x:c>
      <x:c r="H35" s="7" t="str">
        <x:v>Failed</x:v>
      </x:c>
    </x:row>
    <x:row r="36" ht="46" customHeight="1">
      <x:c r="A36" s="4" t="str">
        <x:v>RAG16-04</x:v>
      </x:c>
      <x:c r="B36" s="4" t="str">
        <x:v>RAG / High</x:v>
      </x:c>
      <x:c r="C36" s="4" t="str">
        <x:v>Нет сведений</x:v>
      </x:c>
      <x:c r="D36" s="4" t="str">
        <x:v>Проиндексированы статьи 25–27; настоящая Ollama qwen3.5:0.8b; MOCK выключен для запроса.</x:v>
      </x:c>
      <x:c r="E36" s="4" t="str">
        <x:v>Открыть чат и отправить: Какова точная стоимость годовой подписки проекта Атлас в рублях?</x:v>
      </x:c>
      <x:c r="F36" s="4" t="str">
        <x:v>В базе знаний сведений нет.</x:v>
      </x:c>
      <x:c r="G36" s="4" t="str">
        <x:v>В документе отсутствуют данные для формирования ответа.</x:v>
      </x:c>
      <x:c r="H36" s="4" t="str">
        <x:v>Passed</x:v>
      </x:c>
    </x:row>
    <x:row r="37" ht="46" customHeight="1">
      <x:c r="A37" s="7" t="str">
        <x:v>RAG16-05</x:v>
      </x:c>
      <x:c r="B37" s="7" t="str">
        <x:v>RAG / High</x:v>
      </x:c>
      <x:c r="C37" s="7" t="str">
        <x:v>За пределами темы</x:v>
      </x:c>
      <x:c r="D37" s="7" t="str">
        <x:v>Проиндексированы статьи 25–27; настоящая Ollama qwen3.5:0.8b; MOCK выключен для запроса.</x:v>
      </x:c>
      <x:c r="E37" s="7" t="str">
        <x:v>Открыть чат и отправить: Кто выиграл чемпионат мира по футболу 2022 года?</x:v>
      </x:c>
      <x:c r="F37" s="7" t="str">
        <x:v>В базе знаний сведений нет.</x:v>
      </x:c>
      <x:c r="G37" s="7" t="str">
        <x:v>В документе отсутствуют данные для формирования ответа.</x:v>
      </x:c>
      <x:c r="H37" s="7" t="str">
        <x:v>Passed</x:v>
      </x:c>
    </x:row>
    <x:row r="38" ht="63" customHeight="1">
      <x:c r="A38" s="4" t="str">
        <x:v>UI16-01</x:v>
      </x:c>
      <x:c r="B38" s="4" t="str">
        <x:v>Интерфейс / Medium</x:v>
      </x:c>
      <x:c r="C38" s="4" t="str">
        <x:v>Главная страница</x:v>
      </x:c>
      <x:c r="D38" s="4" t="str">
        <x:v>Авторизованный User; локальный KnowBase.</x:v>
      </x:c>
      <x:c r="E38" s="4" t="str">
        <x:v>Открыть /</x:v>
      </x:c>
      <x:c r="F38" s="4" t="str">
        <x:v>Основное содержимое доступно; нет необработанных ошибок JavaScript.</x:v>
      </x:c>
      <x:c r="G38" s="4" t="str">
        <x:v>KnowBase
Главная
Статьи
Облако тегов
Личный кабинет
Категории
Backend: 1.0.0
Frontend: 1.0.0
Команда итоговая проверка (labteam_a)
Выйти
Главная
Добро пожаловать в корпоративный портал знаний.</x:v>
      </x:c>
      <x:c r="H38" s="4" t="str">
        <x:v>Passed</x:v>
      </x:c>
    </x:row>
    <x:row r="39" ht="148" customHeight="1">
      <x:c r="A39" s="7" t="str">
        <x:v>UI16-02</x:v>
      </x:c>
      <x:c r="B39" s="7" t="str">
        <x:v>Интерфейс / Medium</x:v>
      </x:c>
      <x:c r="C39" s="7" t="str">
        <x:v>Список статей</x:v>
      </x:c>
      <x:c r="D39" s="7" t="str">
        <x:v>Авторизованный User; локальный KnowBase.</x:v>
      </x:c>
      <x:c r="E39" s="7" t="str">
        <x:v>Открыть /articles</x:v>
      </x:c>
      <x:c r="F39" s="7" t="str">
        <x:v>Основное содержимое доступно; нет необработанных ошибок JavaScript.</x:v>
      </x:c>
      <x:c r="G39" s="7" t="str">
        <x:v>KnowBase
Главная
Статьи
Облако тегов
Личный кабинет
Категории
Backend: 1.0.0
Frontend: 1.0.0
Команда итоговая проверка (labteam_a)
Выйти
Статьи
Создать статью
Home
Welcome to our website
Читать далее →
About
Learn more about us
Читать далее →
Contact
Get in touch with us
Читать далее →
LAB9 Проверка API
Учебная статья команды для проверки статей и комментариев.
Автор: Команда итоговая проверка
#LAB9
Читать далее →
LAB9 Проверка API
Учебная статья команды для проверки статей и комментариев.
Автор: Команда итоговая проверка
#LAB9
Читать далее →
1
2</x:v>
      </x:c>
      <x:c r="H39" s="7" t="str">
        <x:v>Passed</x:v>
      </x:c>
    </x:row>
    <x:row r="40" ht="30" customHeight="1">
      <x:c r="A40" s="4" t="str">
        <x:v>UI16-03</x:v>
      </x:c>
      <x:c r="B40" s="4" t="str">
        <x:v>Интерфейс / High</x:v>
      </x:c>
      <x:c r="C40" s="4" t="str">
        <x:v>Кабинет без авторизации</x:v>
      </x:c>
      <x:c r="D40" s="4" t="str">
        <x:v>Новая сессия без входа.</x:v>
      </x:c>
      <x:c r="E40" s="4" t="str">
        <x:v>Открыть /profile.</x:v>
      </x:c>
      <x:c r="F40" s="4" t="str">
        <x:v>Переход на /login.</x:v>
      </x:c>
      <x:c r="G40" s="4" t="str">
        <x:v>https://127.0.0.1:5173/login</x:v>
      </x:c>
      <x:c r="H40" s="4" t="str">
        <x:v>Passed</x:v>
      </x:c>
    </x:row>
    <x:row r="41" ht="30" customHeight="1">
      <x:c r="A41" s="7" t="str">
        <x:v>UI16-04</x:v>
      </x:c>
      <x:c r="B41" s="7" t="str">
        <x:v>Интерфейс / Medium</x:v>
      </x:c>
      <x:c r="C41" s="7" t="str">
        <x:v>Пустой запрос клавишей Enter</x:v>
      </x:c>
      <x:c r="D41" s="7" t="str">
        <x:v>Пустой новый диалог.</x:v>
      </x:c>
      <x:c r="E41" s="7" t="str">
        <x:v>Не вводить текст; нажать Enter в поле чата.</x:v>
      </x:c>
      <x:c r="F41" s="7" t="str">
        <x:v>Запрос не отправляется; пустое сообщение не появляется.</x:v>
      </x:c>
      <x:c r="G41" s="7" t="str">
        <x:v>POST /api/v1/chat → 400; Query cannot be empty
KB-UI-01</x:v>
      </x:c>
      <x:c r="H41" s="7" t="str">
        <x:v>Failed</x:v>
      </x:c>
    </x:row>
    <x:row r="42" ht="46" customHeight="1">
      <x:c r="A42" s="4" t="str">
        <x:v>LOAD16-10</x:v>
      </x:c>
      <x:c r="B42" s="4" t="str">
        <x:v>Нагрузка MOCK / Medium</x:v>
      </x:c>
      <x:c r="C42" s="4" t="str">
        <x:v>Поиск и чат MOCK при 10 VU</x:v>
      </x:c>
      <x:c r="D42" s="4" t="str">
        <x:v>Локальный стенд; MOCK чата включён.</x:v>
      </x:c>
      <x:c r="E42" s="4" t="str">
        <x:v>Сценарий №12, 10 VU, 30 секунд.</x:v>
      </x:c>
      <x:c r="F42" s="4" t="str">
        <x:v>p95 &lt; 500 мс; HTTP-ошибки &lt; 1%; обе операции выполнены.</x:v>
      </x:c>
      <x:c r="G42" s="4" t="str">
        <x:v>Поиск: RPS=4.984, p95=55.559 мс, ошибки=0.00%; Чат MOCK: RPS=4.984, p95=2.036 мс, ошибки=0.00%</x:v>
      </x:c>
      <x:c r="H42" s="4" t="str">
        <x:v>Passed</x:v>
      </x:c>
    </x:row>
    <x:row r="43" ht="46" customHeight="1">
      <x:c r="A43" s="7" t="str">
        <x:v>LOAD16-20</x:v>
      </x:c>
      <x:c r="B43" s="7" t="str">
        <x:v>Нагрузка MOCK / Medium</x:v>
      </x:c>
      <x:c r="C43" s="7" t="str">
        <x:v>Поиск и чат MOCK при 20 VU</x:v>
      </x:c>
      <x:c r="D43" s="7" t="str">
        <x:v>Локальный стенд; MOCK чата включён.</x:v>
      </x:c>
      <x:c r="E43" s="7" t="str">
        <x:v>Сценарий №12, 20 VU, 30 секунд.</x:v>
      </x:c>
      <x:c r="F43" s="7" t="str">
        <x:v>p95 &lt; 500 мс; HTTP-ошибки &lt; 1%; обе операции выполнены.</x:v>
      </x:c>
      <x:c r="G43" s="7" t="str">
        <x:v>Поиск: RPS=9.986, p95=3.682 мс, ошибки=0.00%; Чат MOCK: RPS=9.986, p95=1.186 мс, ошибки=0.00%</x:v>
      </x:c>
      <x:c r="H43" s="7" t="str">
        <x:v>Passed</x:v>
      </x:c>
    </x:row>
    <x:row r="44" ht="46" customHeight="1">
      <x:c r="A44" s="4" t="str">
        <x:v>LOAD16-50</x:v>
      </x:c>
      <x:c r="B44" s="4" t="str">
        <x:v>Нагрузка MOCK / Medium</x:v>
      </x:c>
      <x:c r="C44" s="4" t="str">
        <x:v>Поиск и чат MOCK при 50 VU</x:v>
      </x:c>
      <x:c r="D44" s="4" t="str">
        <x:v>Локальный стенд; MOCK чата включён.</x:v>
      </x:c>
      <x:c r="E44" s="4" t="str">
        <x:v>Сценарий №12, 50 VU, 30 секунд.</x:v>
      </x:c>
      <x:c r="F44" s="4" t="str">
        <x:v>p95 &lt; 500 мс; HTTP-ошибки &lt; 1%; обе операции выполнены.</x:v>
      </x:c>
      <x:c r="G44" s="4" t="str">
        <x:v>Поиск: RPS=24.941, p95=3.338 мс, ошибки=0.00%; Чат MOCK: RPS=24.941, p95=1.561 мс, ошибки=0.00%</x:v>
      </x:c>
      <x:c r="H44" s="4" t="str">
        <x:v>Passed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60" hidden="0" customWidth="1"/>
    <x:col min="3" max="3" width="30" hidden="0" customWidth="1"/>
    <x:col min="4" max="4" width="16" hidden="0" customWidth="1"/>
    <x:col min="5" max="5" width="90" hidden="0" customWidth="1"/>
    <x:col min="6" max="6" width="85" hidden="0" customWidth="1"/>
    <x:col min="7" max="7" width="80" hidden="0" customWidth="1"/>
    <x:col min="8" max="8" width="90" hidden="0" customWidth="1"/>
    <x:col min="9" max="9" width="60" hidden="0" customWidth="1"/>
    <x:col min="10" max="10" width="60" hidden="0" customWidth="1"/>
    <x:col min="11" max="11" width="16" hidden="0" customWidth="1"/>
  </x:cols>
  <x:sheetData>
    <x:row r="1" ht="30" customHeight="1">
      <x:c r="A1" s="6" t="str">
        <x:v>ID</x:v>
      </x:c>
      <x:c r="B1" s="6" t="str">
        <x:v>Заголовок</x:v>
      </x:c>
      <x:c r="C1" s="6" t="str">
        <x:v>Блок</x:v>
      </x:c>
      <x:c r="D1" s="6" t="str">
        <x:v>Severity</x:v>
      </x:c>
      <x:c r="E1" s="6" t="str">
        <x:v>Окружение и предусловия</x:v>
      </x:c>
      <x:c r="F1" s="6" t="str">
        <x:v>Шаги</x:v>
      </x:c>
      <x:c r="G1" s="6" t="str">
        <x:v>Ожидаемый результат</x:v>
      </x:c>
      <x:c r="H1" s="6" t="str">
        <x:v>Фактический результат</x:v>
      </x:c>
      <x:c r="I1" s="6" t="str">
        <x:v>Доказательства</x:v>
      </x:c>
      <x:c r="J1" s="6" t="str">
        <x:v>Воспроизводимость</x:v>
      </x:c>
      <x:c r="K1" s="6" t="str">
        <x:v>Статус</x:v>
      </x:c>
    </x:row>
    <x:row r="2" ht="80" customHeight="1">
      <x:c r="A2" s="4" t="str">
        <x:v>KB-API-01</x:v>
      </x:c>
      <x:c r="B2" s="4" t="str">
        <x:v>Создание статьи по Swagger отклоняется из-за неописанных обязательных полей</x:v>
      </x:c>
      <x:c r="C2" s="4" t="str">
        <x:v>Статьи и комментарии API</x:v>
      </x:c>
      <x:c r="D2" s="4" t="str">
        <x:v>Minor</x:v>
      </x:c>
      <x:c r="E2" s="4" t="str">
        <x:v>Windows 11; Chromium 139.0.7258.5; KnowBase backend 1.0.0 и frontend 1.0.0; интерфейс https://127.0.0.1:5173; API http://127.0.0.1:8080; дата проверки 22.10.2026; обычные учебные пользователи labteam_a и labteam_b. Bruno CLI 4.2.1.
User авторизован; в PageDto Swagger нет списка required.</x:v>
      </x:c>
      <x:c r="F2" s="4" t="str">
        <x:v>Отправить POST /api/v1/pages/new с title, content и categoryId, без id и userId.</x:v>
      </x:c>
      <x:c r="G2" s="4" t="str">
        <x:v>Принимать запрос по опубликованной схеме либо объявить обязательные поля в Swagger.</x:v>
      </x:c>
      <x:c r="H2" s="4" t="str">
        <x:v>HTTP 400: missing required properties including id, userId; с id=0/userId=0 — 201.</x:v>
      </x:c>
      <x:c r="I2" s="4" t="str">
        <x:v>FT16-18; api-results.json API9-31; Bruno execution 31.</x:v>
      </x:c>
      <x:c r="J2" s="4" t="str">
        <x:v>Повторён в №9, Bruno и комплексном цикле; все проверки отклонены HTTP 400.</x:v>
      </x:c>
      <x:c r="K2" s="4" t="str">
        <x:v>Открыт</x:v>
      </x:c>
    </x:row>
    <x:row r="3" ht="97" customHeight="1">
      <x:c r="A3" s="7" t="str">
        <x:v>KB-RAG-01</x:v>
      </x:c>
      <x:c r="B3" s="7" t="str">
        <x:v>Чат отрицает наличие сроков хранения при наличии этих фактов в найденных статьях</x:v>
      </x:c>
      <x:c r="C3" s="7" t="str">
        <x:v>RAG</x:v>
      </x:c>
      <x:c r="D3" s="7" t="str">
        <x:v>Major</x:v>
      </x:c>
      <x:c r="E3" s="7" t="str">
        <x:v>Windows 11; Chromium 139.0.7258.5; KnowBase backend 1.0.0 и frontend 1.0.0; интерфейс https://127.0.0.1:5173; API http://127.0.0.1:8080; дата проверки 22.10.2026; обычные учебные пользователи labteam_a и labteam_b. Ollama qwen3.5:0.8b; qwen3-embedding:0.6b; температура 0.
Статьи 25 и 26 проиндексированы; пользователь User; новый диалог.</x:v>
      </x:c>
      <x:c r="F3" s="7" t="str">
        <x:v>1. Открыть чат. 2. Отправить «Сколько хранятся резервные копии проекта?». 3. Сопоставить ответ со статьями 25 и 26.</x:v>
      </x:c>
      <x:c r="G3" s="7" t="str">
        <x:v>Уточнить проект или назвать оба срока: Атлас 14 календарных дней, Вега 30 календарных дней.</x:v>
      </x:c>
      <x:c r="H3" s="7" t="str">
        <x:v>Ответ №5 лабораторной 13: «В документе нет информации о количестве или длительности хранения резервных копий для проектов Атлас и Вега». В №14 ответы 8 и 20 также отрицают наличие сроков.</x:v>
      </x:c>
      <x:c r="I3" s="7" t="str">
        <x:v>ЛР13 results.json вопрос 5; ЛР14 results.json проверки 8 и 20.</x:v>
      </x:c>
      <x:c r="J3" s="7" t="str">
        <x:v>Проявление зафиксировано в трёх разных запросах; точная формулировка ответа модели изменяется.</x:v>
      </x:c>
      <x:c r="K3" s="7" t="str">
        <x:v>Открыт</x:v>
      </x:c>
    </x:row>
    <x:row r="4" ht="97" customHeight="1">
      <x:c r="A4" s="4" t="str">
        <x:v>KB-RAG-02</x:v>
      </x:c>
      <x:c r="B4" s="4" t="str">
        <x:v>Чат добавляет неподтверждённое условие изменяемости срока хранения</x:v>
      </x:c>
      <x:c r="C4" s="4" t="str">
        <x:v>RAG</x:v>
      </x:c>
      <x:c r="D4" s="4" t="str">
        <x:v>Major</x:v>
      </x:c>
      <x:c r="E4" s="4" t="str">
        <x:v>Windows 11; Chromium 139.0.7258.5; KnowBase backend 1.0.0 и frontend 1.0.0; интерфейс https://127.0.0.1:5173; API http://127.0.0.1:8080; дата проверки 22.10.2026; обычные учебные пользователи labteam_a и labteam_b. Ollama qwen3.5:0.8b; qwen3-embedding:0.6b; температура 0.
Статья 25 задаёт срок Атласа 14 календарных дней; модели qwen3.5:0.8b и qwen3-embedding:0.6b.</x:v>
      </x:c>
      <x:c r="F4" s="4" t="str">
        <x:v>1. Открыть чат. 2. Отправить «Сколько дней хранятся копии Атласа? » и 2048 букв «А» без пробелов. 3. Сравнить ответ с регламентом Атласа.</x:v>
      </x:c>
      <x:c r="G4" s="4" t="str">
        <x:v>Не добавлять условия изменения сроков, которых нет в базе знаний; ответ про Атлас должен опираться на 14 календарных дней.</x:v>
      </x:c>
      <x:c r="H4" s="4" t="str">
        <x:v>Проверка 6: «этот срок не является фиксированным для всех проектов и может зависеть от других факторов». Таких условий в статьях нет; регламенты явно задают 14 и 30 дней.</x:v>
      </x:c>
      <x:c r="I4" s="4" t="str">
        <x:v>results.json проверка 6, check-06.png; полный запрос сохранён.</x:v>
      </x:c>
      <x:c r="J4" s="4" t="str">
        <x:v>1 наблюдение из 1 запроса; повторная генерация может отличаться.</x:v>
      </x:c>
      <x:c r="K4" s="4" t="str">
        <x:v>Открыт</x:v>
      </x:c>
    </x:row>
    <x:row r="5" ht="97" customHeight="1">
      <x:c r="A5" s="7" t="str">
        <x:v>KB-UI-01</x:v>
      </x:c>
      <x:c r="B5" s="7" t="str">
        <x:v>Пустое сообщение отправляется клавишей Enter при недоступной кнопке отправки</x:v>
      </x:c>
      <x:c r="C5" s="7" t="str">
        <x:v>Интерфейс</x:v>
      </x:c>
      <x:c r="D5" s="7" t="str">
        <x:v>Minor</x:v>
      </x:c>
      <x:c r="E5" s="7" t="str">
        <x:v>Windows 11; Chromium 139.0.7258.5; KnowBase backend 1.0.0 и frontend 1.0.0; интерфейс https://127.0.0.1:5173; API http://127.0.0.1:8080; дата проверки 22.10.2026; обычные учебные пользователи labteam_a и labteam_b. Ollama qwen3.5:0.8b; qwen3-embedding:0.6b; температура 0.
Новый диалог; поле ввода пустое; пользователь авторизован.</x:v>
      </x:c>
      <x:c r="F5" s="7" t="str">
        <x:v>1. Открыть чат. 2. Оставить поле пустым. 3. Установить курсор в поле и нажать Enter.</x:v>
      </x:c>
      <x:c r="G5" s="7" t="str">
        <x:v>Не отправлять пустой запрос; поведение Enter должно соответствовать недоступной кнопке отправки.</x:v>
      </x:c>
      <x:c r="H5" s="7" t="str">
        <x:v>Выполняется POST /api/v1/chat с query=""; HTTP 400 Query cannot be empty. Созданы пустая запись пользователя и сообщение ошибки.</x:v>
      </x:c>
      <x:c r="I5" s="7" t="str">
        <x:v>results.json проверка 21; check-21.png.</x:v>
      </x:c>
      <x:c r="J5" s="7" t="str">
        <x:v>1 из 1 проверок клавиатурного пути; кнопка при этом недоступна.</x:v>
      </x:c>
      <x:c r="K5" s="7" t="str">
        <x:v>Открыт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6" hidden="0" customWidth="1"/>
    <x:col min="4" max="4" width="26" hidden="0" customWidth="1"/>
  </x:cols>
  <x:sheetData>
    <x:row r="1" ht="30" customHeight="1">
      <x:c r="A1" s="6" t="str">
        <x:v>Блок</x:v>
      </x:c>
      <x:c r="B1" s="6" t="str">
        <x:v>Выполнено тестов</x:v>
      </x:c>
      <x:c r="C1" s="6" t="str">
        <x:v>Открытых дефектов</x:v>
      </x:c>
      <x:c r="D1" s="6" t="str">
        <x:v>Дефекты на тест</x:v>
      </x:c>
    </x:row>
    <x:row r="2" ht="30" customHeight="1">
      <x:c r="A2" s="4" t="str">
        <x:v>Авторизация</x:v>
      </x:c>
      <x:c r="B2" s="4" t="n">
        <x:v>4</x:v>
      </x:c>
      <x:c r="C2" s="4" t="n">
        <x:v>0</x:v>
      </x:c>
      <x:c r="D2" s="8" t="n">
        <x:v>0</x:v>
      </x:c>
    </x:row>
    <x:row r="3" ht="30" customHeight="1">
      <x:c r="A3" s="7" t="str">
        <x:v>Статьи и комментарии API</x:v>
      </x:c>
      <x:c r="B3" s="7" t="n">
        <x:v>19</x:v>
      </x:c>
      <x:c r="C3" s="7" t="n">
        <x:v>1</x:v>
      </x:c>
      <x:c r="D3" s="9" t="n">
        <x:v>0.05263157894736842</x:v>
      </x:c>
    </x:row>
    <x:row r="4" ht="30" customHeight="1">
      <x:c r="A4" s="4" t="str">
        <x:v>Личный кабинет</x:v>
      </x:c>
      <x:c r="B4" s="4" t="n">
        <x:v>5</x:v>
      </x:c>
      <x:c r="C4" s="4" t="n">
        <x:v>0</x:v>
      </x:c>
      <x:c r="D4" s="8" t="n">
        <x:v>0</x:v>
      </x:c>
    </x:row>
    <x:row r="5" ht="30" customHeight="1">
      <x:c r="A5" s="7" t="str">
        <x:v>Поиск и теги</x:v>
      </x:c>
      <x:c r="B5" s="7" t="n">
        <x:v>3</x:v>
      </x:c>
      <x:c r="C5" s="7" t="n">
        <x:v>0</x:v>
      </x:c>
      <x:c r="D5" s="9" t="n">
        <x:v>0</x:v>
      </x:c>
    </x:row>
    <x:row r="6" ht="30" customHeight="1">
      <x:c r="A6" s="4" t="str">
        <x:v>RAG</x:v>
      </x:c>
      <x:c r="B6" s="4" t="n">
        <x:v>5</x:v>
      </x:c>
      <x:c r="C6" s="4" t="n">
        <x:v>2</x:v>
      </x:c>
      <x:c r="D6" s="8" t="n">
        <x:v>0.4</x:v>
      </x:c>
    </x:row>
    <x:row r="7" ht="30" customHeight="1">
      <x:c r="A7" s="7" t="str">
        <x:v>Интерфейс</x:v>
      </x:c>
      <x:c r="B7" s="7" t="n">
        <x:v>4</x:v>
      </x:c>
      <x:c r="C7" s="7" t="n">
        <x:v>1</x:v>
      </x:c>
      <x:c r="D7" s="9" t="n">
        <x:v>0.25</x:v>
      </x:c>
    </x:row>
    <x:row r="8" ht="30" customHeight="1">
      <x:c r="A8" s="4" t="str">
        <x:v>Нагрузка MOCK</x:v>
      </x:c>
      <x:c r="B8" s="4" t="n">
        <x:v>3</x:v>
      </x:c>
      <x:c r="C8" s="4" t="n">
        <x:v>0</x:v>
      </x:c>
      <x:c r="D8" s="8" t="n">
        <x:v>0</x:v>
      </x:c>
    </x:row>
  </x:sheetData>
  <x:pageMargins left="0.7" right="0.7" top="0.75" bottom="0.75" header="0.3" footer="0.3"/>
</x:worksheet>
</file>